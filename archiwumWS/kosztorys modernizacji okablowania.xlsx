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/>
  <bookViews>
    <workbookView xWindow="0" yWindow="0" windowWidth="22260" windowHeight="12645"/>
  </bookViews>
  <sheets>
    <sheet name="Arkusz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/>
  <c r="C3"/>
  <c r="D8" l="1"/>
  <c r="D10"/>
  <c r="D9"/>
  <c r="D6"/>
  <c r="D7"/>
  <c r="D4"/>
  <c r="D2" s="1"/>
  <c r="C5"/>
  <c r="D5" s="1"/>
  <c r="D3" s="1"/>
  <c r="D11" l="1"/>
</calcChain>
</file>

<file path=xl/sharedStrings.xml><?xml version="1.0" encoding="utf-8"?>
<sst xmlns="http://schemas.openxmlformats.org/spreadsheetml/2006/main" count="19" uniqueCount="19">
  <si>
    <t>Demontaż karty sieciowej</t>
  </si>
  <si>
    <t>Montaż karty sieciowej</t>
  </si>
  <si>
    <t>Nazwa</t>
  </si>
  <si>
    <t>ilość</t>
  </si>
  <si>
    <t>Karta sieciowa</t>
  </si>
  <si>
    <t>Koszt</t>
  </si>
  <si>
    <t>link do karty sieciowej</t>
  </si>
  <si>
    <t>https://allegro.pl/oferta/karta-ibm-1gb-quad-port-4x10-100-1000-bcm95719a1904g-wysoki-16638187966?bi_s=ads&amp;bi_m=productlisting:desktop:query&amp;bi_c=NWViMzNkNGMtYjM0Ny00NmQ1LWEwZjItMzFjMjY1MDc2OTkyAA&amp;bi_t=ape&amp;referrer=proxy&amp;emission_unit_id=23bd37ed-67db-43f3-9661-880f797f7795</t>
  </si>
  <si>
    <t>link do kabla skrętki kat. 6</t>
  </si>
  <si>
    <t>https://allegro.pl/oferta/kabel-przewod-sieciowy-lan-skretka-rj45-utp-kat-6-cat-6-50m-lanberg-15849653685?bi_s=ads&amp;bi_m=productlisting:desktop:queryandcategory&amp;bi_c=MTY4MDVkMTItNWY1Zi00MzBmLWIyYWYtNzAzZGZiMmI2MTNlAA&amp;bi_t=ape&amp;referrer=proxy&amp;emission_unit_id=e3838382-3dcc-4fe5-bf49-902342b18632</t>
  </si>
  <si>
    <t>Suma</t>
  </si>
  <si>
    <t>1 rH = 50zł</t>
  </si>
  <si>
    <t>Krosowanie okablowania w szafie dystrybucyjnej</t>
  </si>
  <si>
    <t>Krosowanie okablowania w  gnieździe abonenckim</t>
  </si>
  <si>
    <t>Demontaż okablowania (50m)</t>
  </si>
  <si>
    <t>okablowanie (skrętka kat. 6) (50m)</t>
  </si>
  <si>
    <t>Pomiar toru transmisyjnego</t>
  </si>
  <si>
    <t>czas pracy [RH]</t>
  </si>
  <si>
    <t>Układanie poziomego okablowania strukturalnego w korytkach (50m)</t>
  </si>
</sst>
</file>

<file path=xl/styles.xml><?xml version="1.0" encoding="utf-8"?>
<styleSheet xmlns="http://schemas.openxmlformats.org/spreadsheetml/2006/main">
  <numFmts count="1">
    <numFmt numFmtId="44" formatCode="_-* #,##0.00\ &quot;zł&quot;_-;\-* #,##0.00\ &quot;zł&quot;_-;_-* &quot;-&quot;??\ &quot;zł&quot;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2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44" fontId="0" fillId="5" borderId="1" xfId="1" applyFont="1" applyFill="1" applyBorder="1"/>
    <xf numFmtId="0" fontId="0" fillId="2" borderId="1" xfId="0" applyFill="1" applyBorder="1" applyAlignment="1"/>
    <xf numFmtId="0" fontId="0" fillId="2" borderId="2" xfId="0" applyFill="1" applyBorder="1" applyAlignment="1"/>
    <xf numFmtId="0" fontId="0" fillId="3" borderId="2" xfId="0" applyFill="1" applyBorder="1"/>
    <xf numFmtId="0" fontId="0" fillId="4" borderId="2" xfId="0" applyFill="1" applyBorder="1"/>
    <xf numFmtId="0" fontId="3" fillId="6" borderId="1" xfId="0" applyFont="1" applyFill="1" applyBorder="1"/>
    <xf numFmtId="44" fontId="3" fillId="6" borderId="1" xfId="0" applyNumberFormat="1" applyFont="1" applyFill="1" applyBorder="1"/>
    <xf numFmtId="0" fontId="4" fillId="2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44" fontId="4" fillId="5" borderId="1" xfId="1" applyFont="1" applyFill="1" applyBorder="1"/>
    <xf numFmtId="0" fontId="4" fillId="0" borderId="0" xfId="0" applyFont="1"/>
    <xf numFmtId="44" fontId="4" fillId="5" borderId="1" xfId="0" applyNumberFormat="1" applyFont="1" applyFill="1" applyBorder="1"/>
  </cellXfs>
  <cellStyles count="3">
    <cellStyle name="Hiperłącze" xfId="2" builtinId="8"/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>
      <selection activeCell="G3" sqref="G3"/>
    </sheetView>
  </sheetViews>
  <sheetFormatPr defaultRowHeight="15"/>
  <cols>
    <col min="1" max="1" width="62.42578125" customWidth="1"/>
    <col min="3" max="3" width="13.85546875" customWidth="1"/>
    <col min="4" max="4" width="11.28515625" bestFit="1" customWidth="1"/>
  </cols>
  <sheetData>
    <row r="1" spans="1:7">
      <c r="A1" s="2" t="s">
        <v>2</v>
      </c>
      <c r="B1" s="3" t="s">
        <v>3</v>
      </c>
      <c r="C1" s="4" t="s">
        <v>17</v>
      </c>
      <c r="D1" s="5" t="s">
        <v>5</v>
      </c>
    </row>
    <row r="2" spans="1:7">
      <c r="A2" s="16" t="s">
        <v>0</v>
      </c>
      <c r="B2" s="17">
        <v>1</v>
      </c>
      <c r="C2" s="18">
        <f>0.4*C4</f>
        <v>8.0000000000000016E-2</v>
      </c>
      <c r="D2" s="21">
        <f>D4*B2*0.4</f>
        <v>20</v>
      </c>
    </row>
    <row r="3" spans="1:7">
      <c r="A3" s="16" t="s">
        <v>14</v>
      </c>
      <c r="B3" s="17">
        <v>1</v>
      </c>
      <c r="C3" s="18">
        <f>0.4*C5</f>
        <v>0.49199999999999999</v>
      </c>
      <c r="D3" s="19">
        <f>(D5+D6+D7)*0.4</f>
        <v>27.22</v>
      </c>
      <c r="E3" s="20"/>
      <c r="G3" s="20">
        <v>4</v>
      </c>
    </row>
    <row r="4" spans="1:7">
      <c r="A4" s="6" t="s">
        <v>1</v>
      </c>
      <c r="B4" s="7">
        <v>1</v>
      </c>
      <c r="C4" s="8">
        <v>0.2</v>
      </c>
      <c r="D4" s="9">
        <f>50*B4</f>
        <v>50</v>
      </c>
    </row>
    <row r="5" spans="1:7">
      <c r="A5" s="6" t="s">
        <v>18</v>
      </c>
      <c r="B5" s="7">
        <v>1</v>
      </c>
      <c r="C5" s="8">
        <f>(1.72+0.74)/2</f>
        <v>1.23</v>
      </c>
      <c r="D5" s="9">
        <f>C5*B5*50</f>
        <v>61.5</v>
      </c>
    </row>
    <row r="6" spans="1:7">
      <c r="A6" s="6" t="s">
        <v>12</v>
      </c>
      <c r="B6" s="7">
        <v>1</v>
      </c>
      <c r="C6" s="8">
        <v>8.1000000000000003E-2</v>
      </c>
      <c r="D6" s="9">
        <f t="shared" ref="D6:D7" si="0">C6*B6*50</f>
        <v>4.05</v>
      </c>
    </row>
    <row r="7" spans="1:7">
      <c r="A7" s="10" t="s">
        <v>13</v>
      </c>
      <c r="B7" s="7">
        <v>1</v>
      </c>
      <c r="C7" s="8">
        <v>0.05</v>
      </c>
      <c r="D7" s="9">
        <f t="shared" si="0"/>
        <v>2.5</v>
      </c>
    </row>
    <row r="8" spans="1:7">
      <c r="A8" s="11" t="s">
        <v>16</v>
      </c>
      <c r="B8" s="12">
        <v>1</v>
      </c>
      <c r="C8" s="13">
        <v>0.84</v>
      </c>
      <c r="D8" s="9">
        <f>C8*50</f>
        <v>42</v>
      </c>
    </row>
    <row r="9" spans="1:7">
      <c r="A9" s="6" t="s">
        <v>4</v>
      </c>
      <c r="B9" s="7">
        <v>1</v>
      </c>
      <c r="C9" s="8"/>
      <c r="D9" s="9">
        <f>B9*119.99</f>
        <v>119.99</v>
      </c>
    </row>
    <row r="10" spans="1:7">
      <c r="A10" s="6" t="s">
        <v>15</v>
      </c>
      <c r="B10" s="7">
        <v>1</v>
      </c>
      <c r="C10" s="8"/>
      <c r="D10" s="9">
        <f>B10*57.99</f>
        <v>57.99</v>
      </c>
    </row>
    <row r="11" spans="1:7">
      <c r="C11" s="14" t="s">
        <v>10</v>
      </c>
      <c r="D11" s="15">
        <f>SUM(D2:D10)</f>
        <v>385.25</v>
      </c>
    </row>
    <row r="12" spans="1:7">
      <c r="A12" t="s">
        <v>11</v>
      </c>
    </row>
    <row r="15" spans="1:7">
      <c r="A15" t="s">
        <v>6</v>
      </c>
      <c r="B15" s="1" t="s">
        <v>7</v>
      </c>
    </row>
    <row r="16" spans="1:7">
      <c r="A16" t="s">
        <v>8</v>
      </c>
      <c r="B16" s="1" t="s">
        <v>9</v>
      </c>
    </row>
  </sheetData>
  <hyperlinks>
    <hyperlink ref="B15" display="https://allegro.pl/oferta/karta-ibm-1gb-quad-port-4x10-100-1000-bcm95719a1904g-wysoki-16638187966?bi_s=ads&amp;bi_m=productlisting:desktop:query&amp;bi_c=NWViMzNkNGMtYjM0Ny00NmQ1LWEwZjItMzFjMjY1MDc2OTkyAA&amp;bi_t=ape&amp;referrer=proxy&amp;emission_unit_id=23bd37ed-67db-43f"/>
    <hyperlink ref="B16" display="https://allegro.pl/oferta/kabel-przewod-sieciowy-lan-skretka-rj45-utp-kat-6-cat-6-50m-lanberg-15849653685?bi_s=ads&amp;bi_m=productlisting:desktop:queryandcategory&amp;bi_c=MTY4MDVkMTItNWY1Zi00MzBmLWIyYWYtNzAzZGZiMmI2MTNlAA&amp;bi_t=ape&amp;referrer=proxy&amp;emission_unit_i"/>
  </hyperlink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2025-03-19T14:42:01Z</dcterms:modified>
</cp:coreProperties>
</file>