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936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/>
  <c r="D8"/>
  <c r="D19"/>
  <c r="D17"/>
  <c r="D22"/>
  <c r="D32" s="1"/>
  <c r="D18"/>
  <c r="D6"/>
  <c r="D27"/>
  <c r="C27"/>
  <c r="D12"/>
  <c r="C12"/>
  <c r="D11"/>
  <c r="D10"/>
  <c r="D7"/>
  <c r="D5"/>
  <c r="C11" l="1"/>
  <c r="C7" l="1"/>
  <c r="R6"/>
  <c r="R7"/>
  <c r="R8"/>
  <c r="R9"/>
  <c r="R10"/>
  <c r="R11"/>
  <c r="R12"/>
  <c r="R13"/>
  <c r="R14"/>
  <c r="R15"/>
  <c r="R16"/>
  <c r="R17"/>
  <c r="R18"/>
  <c r="R19"/>
  <c r="R5"/>
  <c r="C9"/>
  <c r="C10"/>
  <c r="C8"/>
  <c r="R21" l="1"/>
  <c r="C6" s="1"/>
</calcChain>
</file>

<file path=xl/sharedStrings.xml><?xml version="1.0" encoding="utf-8"?>
<sst xmlns="http://schemas.openxmlformats.org/spreadsheetml/2006/main" count="34" uniqueCount="32">
  <si>
    <t>Robocizna</t>
  </si>
  <si>
    <t>Koszt r-g</t>
  </si>
  <si>
    <t>r-g</t>
  </si>
  <si>
    <t>Montaż szafy rackowej</t>
  </si>
  <si>
    <t>Montaż gniazdek</t>
  </si>
  <si>
    <t xml:space="preserve">Karosowanie okablowania w gniazdku </t>
  </si>
  <si>
    <t>Krosowanie kabla w patchpanelu</t>
  </si>
  <si>
    <t>Materiały</t>
  </si>
  <si>
    <t>kable sieciowe</t>
  </si>
  <si>
    <t>korytka na okablowanie</t>
  </si>
  <si>
    <t>szafa rack</t>
  </si>
  <si>
    <t>Sprzęt</t>
  </si>
  <si>
    <t>wiertarka</t>
  </si>
  <si>
    <t>zacistarka do wtyków rj45</t>
  </si>
  <si>
    <t>narzędzie uderzeniowe</t>
  </si>
  <si>
    <t>testowanie</t>
  </si>
  <si>
    <t>Razem</t>
  </si>
  <si>
    <t>Obliczania odnośnie okablowania</t>
  </si>
  <si>
    <t>Montaż panelu krosowego</t>
  </si>
  <si>
    <t xml:space="preserve">
gniazdka sieciowe X9 podwójnych
</t>
  </si>
  <si>
    <t>tesrer okablowania</t>
  </si>
  <si>
    <t>koszt</t>
  </si>
  <si>
    <t>https://www.morele.net/inline-gniazdo-natynkowe-sieciowe-2x-rj45-cat-6-biale-poziome-75602j-569080/?utm_source=google&amp;utm_medium=cpc&amp;utm_campaign=19968945056&amp;gad_source=1&amp;gclid=EAIaIQobChMI-t-r4efviAMVcVqRBR3o4SH4EAQYASABEgLWfvD_BwE</t>
  </si>
  <si>
    <t>m-g</t>
  </si>
  <si>
    <t>Koszt 100</t>
  </si>
  <si>
    <t>Razem całość:</t>
  </si>
  <si>
    <t>https://allegro.pl/oferta/kabel-sieciowy-utp-rj45-kat-5e-100m-skretka-przewod-internetowy-lan-lanberg-6992379043?fromVariant=6892921352</t>
  </si>
  <si>
    <t>https://kompleksmedia.pl/szafa-19-42u-stojaca-s8842-racksystems-czarna,id3818.html?utm_source=google&amp;utm_medium=cpc&amp;utm_campaign=20011291092&amp;utm_campaign_name={campaignname}&amp;utm_adgroupid=&amp;gad_source=1&amp;gclid=EAIaIQobChMI8-T9y-rviAMVtWpBAh3sVARoEAQYBSABEgKs_PD_BwE</t>
  </si>
  <si>
    <t>patch panel</t>
  </si>
  <si>
    <t>https://allegro.pl/oferta/patch-panel-patchpanel-polka-rack-19-5e-24p-ftp-11721548594?utm_feed=aa34192d-eee2-4419-9a9a-de66b9dfae24&amp;utm_source=google&amp;utm_medium=cpc&amp;utm_campaign=_elktrk_komputery_pla_pmax_ps&amp;ev_campaign_id=20308835172&amp;gad_source=1&amp;gclid=EAIaIQobChMI3rCP-OrviAMV7Z1oCR01PSPHEAQYECABEgINffD_BwE</t>
  </si>
  <si>
    <t>https://allegro.pl/oferta/koryto-kablowe-listwa-kanal-elektroinstalacyjny-korytko-z-pokrywa-20x10-2m-11056480713?utm_feed=aa34192d-eee2-4419-9a9a-de66b9dfae24&amp;utm_source=google&amp;utm_medium=cpc&amp;utm_campaign=_dio_budownictwo_pla_pmax&amp;ev_campaign_id=17961365662&amp;gad_source=1&amp;gclid=EAIaIQobChMIqd7vuOzviAMVPppoCR0rTwJ2EAQYASABEgKxn_D_BwE</t>
  </si>
  <si>
    <r>
      <t xml:space="preserve">Montaż okablowania </t>
    </r>
    <r>
      <rPr>
        <sz val="11"/>
        <color rgb="FFFF0000"/>
        <rFont val="Calibri"/>
        <family val="2"/>
        <charset val="238"/>
        <scheme val="minor"/>
      </rPr>
      <t>w korytkach</t>
    </r>
  </si>
</sst>
</file>

<file path=xl/styles.xml><?xml version="1.0" encoding="utf-8"?>
<styleSheet xmlns="http://schemas.openxmlformats.org/spreadsheetml/2006/main">
  <numFmts count="5">
    <numFmt numFmtId="8" formatCode="#,##0.00\ &quot;zł&quot;;[Red]\-#,##0.00\ &quot;zł&quot;"/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.000\ _z_ł_-;\-* #,##0.000\ _z_ł_-;_-* &quot;-&quot;??\ _z_ł_-;_-@_-"/>
    <numFmt numFmtId="165" formatCode="_-* #,##0.00\ _z_ł_-;\-* #,##0.00\ _z_ł_-;_-* &quot;-&quot;???\ _z_ł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0" fillId="0" borderId="1" xfId="0" applyBorder="1" applyAlignment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43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3" fontId="0" fillId="0" borderId="1" xfId="0" applyNumberFormat="1" applyBorder="1"/>
    <xf numFmtId="44" fontId="0" fillId="0" borderId="1" xfId="2" applyFont="1" applyBorder="1"/>
    <xf numFmtId="44" fontId="0" fillId="0" borderId="1" xfId="2" applyFont="1" applyBorder="1" applyAlignment="1"/>
    <xf numFmtId="164" fontId="0" fillId="0" borderId="1" xfId="1" applyNumberFormat="1" applyFont="1" applyBorder="1"/>
    <xf numFmtId="165" fontId="0" fillId="0" borderId="1" xfId="0" applyNumberFormat="1" applyBorder="1"/>
    <xf numFmtId="0" fontId="2" fillId="0" borderId="0" xfId="0" applyFont="1"/>
    <xf numFmtId="0" fontId="3" fillId="0" borderId="0" xfId="3"/>
    <xf numFmtId="44" fontId="0" fillId="0" borderId="1" xfId="0" applyNumberFormat="1" applyBorder="1"/>
    <xf numFmtId="43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43" fontId="5" fillId="0" borderId="1" xfId="1" applyFont="1" applyBorder="1"/>
  </cellXfs>
  <cellStyles count="4">
    <cellStyle name="Dziesiętny" xfId="1" builtinId="3"/>
    <cellStyle name="Hiperłącze" xfId="3" builtinId="8"/>
    <cellStyle name="Normalny" xfId="0" builtinId="0"/>
    <cellStyle name="Walutowy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llegro.pl/oferta/kabel-sieciowy-utp-rj45-kat-5e-100m-skretka-przewod-internetowy-lan-lanberg-6992379043?fromVariant=6892921352" TargetMode="External"/><Relationship Id="rId1" Type="http://schemas.openxmlformats.org/officeDocument/2006/relationships/hyperlink" Target="https://www.morele.net/inline-gniazdo-natynkowe-sieciowe-2x-rj45-cat-6-biale-poziome-75602j-569080/?utm_source=google&amp;utm_medium=cpc&amp;utm_campaign=19968945056&amp;gad_source=1&amp;gclid=EAIaIQobChMI-t-r4efviAMVcVqRBR3o4SH4EAQYASABEgLWf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>
      <selection activeCell="F5" sqref="F5"/>
    </sheetView>
  </sheetViews>
  <sheetFormatPr defaultRowHeight="15"/>
  <cols>
    <col min="1" max="1" width="12" customWidth="1"/>
    <col min="2" max="2" width="34.85546875" customWidth="1"/>
    <col min="3" max="3" width="9.85546875" bestFit="1" customWidth="1"/>
    <col min="4" max="4" width="11.28515625" bestFit="1" customWidth="1"/>
    <col min="5" max="5" width="27.85546875" customWidth="1"/>
  </cols>
  <sheetData>
    <row r="1" spans="1:18">
      <c r="A1" s="1" t="s">
        <v>0</v>
      </c>
      <c r="B1" s="1"/>
      <c r="C1" s="1"/>
      <c r="D1" s="1"/>
    </row>
    <row r="2" spans="1:18">
      <c r="A2" s="1" t="s">
        <v>1</v>
      </c>
      <c r="B2" s="2">
        <v>100</v>
      </c>
      <c r="C2" s="1"/>
      <c r="D2" s="1"/>
    </row>
    <row r="3" spans="1:18">
      <c r="A3" s="1"/>
      <c r="B3" s="1"/>
      <c r="C3" s="1"/>
      <c r="D3" s="1"/>
      <c r="O3" s="19" t="s">
        <v>17</v>
      </c>
      <c r="P3" s="19"/>
      <c r="Q3" s="19"/>
      <c r="R3" s="19"/>
    </row>
    <row r="4" spans="1:18">
      <c r="A4" s="1"/>
      <c r="B4" s="1"/>
      <c r="C4" s="5" t="s">
        <v>2</v>
      </c>
      <c r="D4" s="1" t="s">
        <v>21</v>
      </c>
      <c r="F4">
        <v>5</v>
      </c>
      <c r="O4" s="1"/>
      <c r="P4" s="1"/>
      <c r="Q4" s="1"/>
      <c r="R4" s="1"/>
    </row>
    <row r="5" spans="1:18">
      <c r="A5" s="1"/>
      <c r="B5" s="1" t="s">
        <v>3</v>
      </c>
      <c r="C5" s="4">
        <v>4.46</v>
      </c>
      <c r="D5" s="11">
        <f>C5*B2</f>
        <v>446</v>
      </c>
      <c r="O5" s="1">
        <v>1</v>
      </c>
      <c r="P5" s="1">
        <v>30</v>
      </c>
      <c r="Q5" s="1"/>
      <c r="R5" s="4">
        <f>(1.72+0.82+0.74)*P5/100</f>
        <v>0.9840000000000001</v>
      </c>
    </row>
    <row r="6" spans="1:18">
      <c r="A6" s="1"/>
      <c r="B6" s="1" t="s">
        <v>31</v>
      </c>
      <c r="C6" s="18">
        <f>R21</f>
        <v>5.3136000000000001</v>
      </c>
      <c r="D6" s="12">
        <f>C6*B2</f>
        <v>531.36</v>
      </c>
      <c r="O6" s="1">
        <v>2</v>
      </c>
      <c r="P6" s="1"/>
      <c r="Q6" s="1"/>
      <c r="R6" s="4">
        <f t="shared" ref="R6:R19" si="0">(1.72+0.82+0.74)*P6/100</f>
        <v>0</v>
      </c>
    </row>
    <row r="7" spans="1:18">
      <c r="A7" s="1"/>
      <c r="B7" s="1" t="s">
        <v>4</v>
      </c>
      <c r="C7" s="20">
        <f>(0.3+0.015)*9</f>
        <v>2.835</v>
      </c>
      <c r="D7" s="11">
        <f>C7*B2</f>
        <v>283.5</v>
      </c>
      <c r="O7" s="1">
        <v>3</v>
      </c>
      <c r="P7" s="1">
        <v>27</v>
      </c>
      <c r="Q7" s="1"/>
      <c r="R7" s="4">
        <f t="shared" si="0"/>
        <v>0.88560000000000005</v>
      </c>
    </row>
    <row r="8" spans="1:18">
      <c r="A8" s="1"/>
      <c r="B8" s="1" t="s">
        <v>5</v>
      </c>
      <c r="C8" s="4">
        <f>0.05*18</f>
        <v>0.9</v>
      </c>
      <c r="D8" s="11">
        <f>C8*B2</f>
        <v>90</v>
      </c>
      <c r="O8" s="1">
        <v>4</v>
      </c>
      <c r="P8" s="1"/>
      <c r="Q8" s="1"/>
      <c r="R8" s="4">
        <f t="shared" si="0"/>
        <v>0</v>
      </c>
    </row>
    <row r="9" spans="1:18">
      <c r="A9" s="1"/>
      <c r="B9" s="1" t="s">
        <v>18</v>
      </c>
      <c r="C9" s="13">
        <f>0.15+0.013+0.021</f>
        <v>0.184</v>
      </c>
      <c r="D9" s="11">
        <f>C9*B2</f>
        <v>18.399999999999999</v>
      </c>
      <c r="O9" s="1">
        <v>5</v>
      </c>
      <c r="P9" s="1">
        <v>24</v>
      </c>
      <c r="Q9" s="1"/>
      <c r="R9" s="4">
        <f t="shared" si="0"/>
        <v>0.78720000000000001</v>
      </c>
    </row>
    <row r="10" spans="1:18">
      <c r="A10" s="1"/>
      <c r="B10" s="1" t="s">
        <v>6</v>
      </c>
      <c r="C10" s="13">
        <f>0.081*18</f>
        <v>1.458</v>
      </c>
      <c r="D10" s="11">
        <f>C10*B2</f>
        <v>145.79999999999998</v>
      </c>
      <c r="O10" s="1">
        <v>6</v>
      </c>
      <c r="P10" s="1">
        <v>21</v>
      </c>
      <c r="Q10" s="1"/>
      <c r="R10" s="4">
        <f t="shared" si="0"/>
        <v>0.68880000000000008</v>
      </c>
    </row>
    <row r="11" spans="1:18">
      <c r="A11" s="1"/>
      <c r="B11" s="1" t="s">
        <v>15</v>
      </c>
      <c r="C11" s="20">
        <f>0.84+0.3*17</f>
        <v>5.9399999999999995</v>
      </c>
      <c r="D11" s="11">
        <f>C11*B2</f>
        <v>594</v>
      </c>
      <c r="O11" s="1">
        <v>7</v>
      </c>
      <c r="P11" s="1"/>
      <c r="Q11" s="1"/>
      <c r="R11" s="4">
        <f t="shared" si="0"/>
        <v>0</v>
      </c>
    </row>
    <row r="12" spans="1:18">
      <c r="A12" s="1"/>
      <c r="B12" s="9" t="s">
        <v>16</v>
      </c>
      <c r="C12" s="10">
        <f>SUM(C5:C11)</f>
        <v>21.090599999999998</v>
      </c>
      <c r="D12" s="11">
        <f>SUM(D5:D11)</f>
        <v>2109.0600000000004</v>
      </c>
      <c r="O12" s="1">
        <v>8</v>
      </c>
      <c r="P12" s="1">
        <v>18</v>
      </c>
      <c r="Q12" s="1"/>
      <c r="R12" s="4">
        <f t="shared" si="0"/>
        <v>0.59040000000000004</v>
      </c>
    </row>
    <row r="13" spans="1:18">
      <c r="A13" s="1"/>
      <c r="B13" s="1"/>
      <c r="C13" s="1"/>
      <c r="D13" s="1"/>
      <c r="O13" s="1">
        <v>9</v>
      </c>
      <c r="P13" s="1"/>
      <c r="Q13" s="1"/>
      <c r="R13" s="4">
        <f t="shared" si="0"/>
        <v>0</v>
      </c>
    </row>
    <row r="14" spans="1:18">
      <c r="A14" s="1"/>
      <c r="B14" s="1"/>
      <c r="C14" s="1"/>
      <c r="D14" s="1"/>
      <c r="O14" s="1">
        <v>10</v>
      </c>
      <c r="P14" s="1">
        <v>15</v>
      </c>
      <c r="Q14" s="1"/>
      <c r="R14" s="4">
        <f t="shared" si="0"/>
        <v>0.49200000000000005</v>
      </c>
    </row>
    <row r="15" spans="1:18">
      <c r="A15" s="1"/>
      <c r="B15" s="1"/>
      <c r="C15" s="1"/>
      <c r="D15" s="1"/>
      <c r="O15" s="1">
        <v>11</v>
      </c>
      <c r="P15" s="1">
        <v>12</v>
      </c>
      <c r="Q15" s="1"/>
      <c r="R15" s="4">
        <f t="shared" si="0"/>
        <v>0.39360000000000001</v>
      </c>
    </row>
    <row r="16" spans="1:18">
      <c r="A16" s="1" t="s">
        <v>7</v>
      </c>
      <c r="B16" s="1"/>
      <c r="C16" s="1"/>
      <c r="D16" s="1"/>
      <c r="O16" s="1">
        <v>12</v>
      </c>
      <c r="P16" s="1"/>
      <c r="Q16" s="1"/>
      <c r="R16" s="4">
        <f t="shared" si="0"/>
        <v>0</v>
      </c>
    </row>
    <row r="17" spans="1:18">
      <c r="A17" s="1"/>
      <c r="B17" s="3" t="s">
        <v>19</v>
      </c>
      <c r="C17" s="1"/>
      <c r="D17" s="11">
        <f>53.29*9</f>
        <v>479.61</v>
      </c>
      <c r="E17" s="16" t="s">
        <v>22</v>
      </c>
      <c r="O17" s="1">
        <v>13</v>
      </c>
      <c r="P17" s="1">
        <v>9</v>
      </c>
      <c r="Q17" s="1"/>
      <c r="R17" s="4">
        <f t="shared" si="0"/>
        <v>0.29520000000000002</v>
      </c>
    </row>
    <row r="18" spans="1:18">
      <c r="A18" s="1"/>
      <c r="B18" s="1" t="s">
        <v>8</v>
      </c>
      <c r="C18" s="1"/>
      <c r="D18" s="11">
        <f>58.99*2</f>
        <v>117.98</v>
      </c>
      <c r="E18" s="16" t="s">
        <v>26</v>
      </c>
      <c r="O18" s="1">
        <v>14</v>
      </c>
      <c r="P18" s="1"/>
      <c r="Q18" s="1"/>
      <c r="R18" s="4">
        <f t="shared" si="0"/>
        <v>0</v>
      </c>
    </row>
    <row r="19" spans="1:18">
      <c r="A19" s="1"/>
      <c r="B19" s="1" t="s">
        <v>9</v>
      </c>
      <c r="C19" s="1"/>
      <c r="D19" s="11">
        <f>4.8*10</f>
        <v>48</v>
      </c>
      <c r="E19" s="16" t="s">
        <v>30</v>
      </c>
      <c r="O19" s="1">
        <v>15</v>
      </c>
      <c r="P19" s="1">
        <v>6</v>
      </c>
      <c r="Q19" s="1"/>
      <c r="R19" s="4">
        <f t="shared" si="0"/>
        <v>0.1968</v>
      </c>
    </row>
    <row r="20" spans="1:18">
      <c r="A20" s="1"/>
      <c r="B20" s="1" t="s">
        <v>10</v>
      </c>
      <c r="C20" s="1"/>
      <c r="D20" s="11">
        <v>2557.9899999999998</v>
      </c>
      <c r="E20" s="16" t="s">
        <v>27</v>
      </c>
      <c r="O20" s="1">
        <v>16</v>
      </c>
      <c r="P20" s="1"/>
      <c r="Q20" s="1"/>
      <c r="R20" s="1"/>
    </row>
    <row r="21" spans="1:18">
      <c r="A21" s="1"/>
      <c r="B21" s="1" t="s">
        <v>28</v>
      </c>
      <c r="C21" s="1"/>
      <c r="D21" s="11">
        <v>158</v>
      </c>
      <c r="E21" s="16" t="s">
        <v>29</v>
      </c>
      <c r="O21" s="1"/>
      <c r="P21" s="1"/>
      <c r="Q21" s="1" t="s">
        <v>16</v>
      </c>
      <c r="R21" s="4">
        <f>SUM(R5:R19)</f>
        <v>5.3136000000000001</v>
      </c>
    </row>
    <row r="22" spans="1:18">
      <c r="A22" s="1"/>
      <c r="B22" s="1"/>
      <c r="C22" s="8" t="s">
        <v>16</v>
      </c>
      <c r="D22" s="17">
        <f>SUM(D17:D21)</f>
        <v>3361.58</v>
      </c>
    </row>
    <row r="23" spans="1:18">
      <c r="A23" s="1"/>
      <c r="B23" s="1"/>
      <c r="C23" s="1"/>
      <c r="D23" s="1"/>
    </row>
    <row r="24" spans="1:18">
      <c r="A24" s="1"/>
      <c r="B24" s="1"/>
      <c r="C24" s="1"/>
      <c r="D24" s="1"/>
    </row>
    <row r="25" spans="1:18">
      <c r="A25" s="1"/>
      <c r="B25" s="1"/>
      <c r="C25" s="1"/>
      <c r="D25" s="1"/>
    </row>
    <row r="26" spans="1:18">
      <c r="A26" s="1" t="s">
        <v>11</v>
      </c>
      <c r="B26" s="1"/>
      <c r="C26" s="1" t="s">
        <v>23</v>
      </c>
      <c r="D26" s="1"/>
    </row>
    <row r="27" spans="1:18">
      <c r="A27" s="1" t="s">
        <v>24</v>
      </c>
      <c r="B27" s="1" t="s">
        <v>12</v>
      </c>
      <c r="C27" s="13">
        <f>1/6</f>
        <v>0.16666666666666666</v>
      </c>
      <c r="D27" s="14">
        <f>C27*100</f>
        <v>16.666666666666664</v>
      </c>
    </row>
    <row r="28" spans="1:18">
      <c r="A28" s="1"/>
      <c r="B28" s="1" t="s">
        <v>13</v>
      </c>
      <c r="C28" s="1"/>
      <c r="D28" s="1"/>
    </row>
    <row r="29" spans="1:18">
      <c r="A29" s="1"/>
      <c r="B29" s="1" t="s">
        <v>14</v>
      </c>
      <c r="C29" s="1"/>
      <c r="D29" s="1"/>
    </row>
    <row r="30" spans="1:18">
      <c r="A30" s="1"/>
      <c r="B30" s="6" t="s">
        <v>20</v>
      </c>
      <c r="C30" s="1"/>
      <c r="D30" s="1"/>
    </row>
    <row r="32" spans="1:18">
      <c r="B32" s="15" t="s">
        <v>25</v>
      </c>
      <c r="D32" s="7">
        <f>D27+D22+D12</f>
        <v>5487.3066666666673</v>
      </c>
    </row>
  </sheetData>
  <mergeCells count="1">
    <mergeCell ref="O3:R3"/>
  </mergeCells>
  <hyperlinks>
    <hyperlink ref="E17" r:id="rId1"/>
    <hyperlink ref="E18" r:id="rId2"/>
    <hyperlink ref="E20" display="https://kompleksmedia.pl/szafa-19-42u-stojaca-s8842-racksystems-czarna,id3818.html?utm_source=google&amp;utm_medium=cpc&amp;utm_campaign=20011291092&amp;utm_campaign_name={campaignname}&amp;utm_adgroupid=&amp;gad_source=1&amp;gclid=EAIaIQobChMI8-T9y-rviAMVtWpBAh3sVARoEAQYBSABEgK"/>
    <hyperlink ref="E21" display="https://allegro.pl/oferta/patch-panel-patchpanel-polka-rack-19-5e-24p-ftp-11721548594?utm_feed=aa34192d-eee2-4419-9a9a-de66b9dfae24&amp;utm_source=google&amp;utm_medium=cpc&amp;utm_campaign=_elktrk_komputery_pla_pmax_ps&amp;ev_campaign_id=20308835172&amp;gad_source=1&amp;gclid=E"/>
    <hyperlink ref="E19" display="https://allegro.pl/oferta/koryto-kablowe-listwa-kanal-elektroinstalacyjny-korytko-z-pokrywa-20x10-2m-11056480713?utm_feed=aa34192d-eee2-4419-9a9a-de66b9dfae24&amp;utm_source=google&amp;utm_medium=cpc&amp;utm_campaign=_dio_budownictwo_pla_pmax&amp;ev_campaign_id=179613656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2024-10-09T13:55:46Z</dcterms:modified>
</cp:coreProperties>
</file>